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unka\KUETUO_OSPract\kuetuo_0417\"/>
    </mc:Choice>
  </mc:AlternateContent>
  <xr:revisionPtr revIDLastSave="0" documentId="13_ncr:1_{F144F375-E9C4-40A4-9807-B804B90FB187}" xr6:coauthVersionLast="47" xr6:coauthVersionMax="47" xr10:uidLastSave="{00000000-0000-0000-0000-000000000000}"/>
  <bookViews>
    <workbookView xWindow="1950" yWindow="1950" windowWidth="21600" windowHeight="12645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1" l="1"/>
  <c r="L55" i="1"/>
  <c r="L54" i="1"/>
  <c r="R54" i="1" s="1"/>
  <c r="L53" i="1"/>
  <c r="L52" i="1"/>
  <c r="Q50" i="1"/>
  <c r="P50" i="1"/>
  <c r="O50" i="1"/>
  <c r="N50" i="1"/>
  <c r="M50" i="1"/>
  <c r="L50" i="1"/>
  <c r="Q49" i="1"/>
  <c r="P49" i="1"/>
  <c r="O49" i="1"/>
  <c r="N49" i="1"/>
  <c r="M49" i="1"/>
  <c r="L49" i="1"/>
  <c r="L41" i="1"/>
  <c r="L40" i="1"/>
  <c r="L39" i="1"/>
  <c r="L38" i="1"/>
  <c r="L37" i="1"/>
  <c r="Q35" i="1"/>
  <c r="P35" i="1"/>
  <c r="O35" i="1"/>
  <c r="N35" i="1"/>
  <c r="M35" i="1"/>
  <c r="L35" i="1"/>
  <c r="Q34" i="1"/>
  <c r="P34" i="1"/>
  <c r="O34" i="1"/>
  <c r="N34" i="1"/>
  <c r="M34" i="1"/>
  <c r="L34" i="1"/>
  <c r="M19" i="1"/>
  <c r="N19" i="1"/>
  <c r="O19" i="1"/>
  <c r="P19" i="1"/>
  <c r="Q19" i="1"/>
  <c r="L19" i="1"/>
  <c r="L25" i="1"/>
  <c r="L24" i="1"/>
  <c r="L23" i="1"/>
  <c r="R23" i="1" s="1"/>
  <c r="L22" i="1"/>
  <c r="L21" i="1"/>
  <c r="Q18" i="1"/>
  <c r="P18" i="1"/>
  <c r="O18" i="1"/>
  <c r="N18" i="1"/>
  <c r="M18" i="1"/>
  <c r="L18" i="1"/>
  <c r="L8" i="1"/>
  <c r="L9" i="1"/>
  <c r="L10" i="1"/>
  <c r="L11" i="1"/>
  <c r="L7" i="1"/>
  <c r="M5" i="1"/>
  <c r="N5" i="1"/>
  <c r="O5" i="1"/>
  <c r="P5" i="1"/>
  <c r="Q5" i="1"/>
  <c r="L5" i="1"/>
  <c r="M4" i="1"/>
  <c r="N4" i="1"/>
  <c r="O4" i="1"/>
  <c r="P4" i="1"/>
  <c r="Q4" i="1"/>
  <c r="L4" i="1"/>
  <c r="R50" i="1" l="1"/>
  <c r="R49" i="1"/>
  <c r="R35" i="1"/>
  <c r="R9" i="1"/>
  <c r="R4" i="1"/>
  <c r="R39" i="1"/>
  <c r="R34" i="1"/>
  <c r="K43" i="1" s="1"/>
  <c r="R19" i="1"/>
  <c r="R18" i="1"/>
  <c r="K27" i="1" s="1"/>
  <c r="R5" i="1"/>
  <c r="K13" i="1" s="1"/>
  <c r="K58" i="1" l="1"/>
</calcChain>
</file>

<file path=xl/sharedStrings.xml><?xml version="1.0" encoding="utf-8"?>
<sst xmlns="http://schemas.openxmlformats.org/spreadsheetml/2006/main" count="67" uniqueCount="27">
  <si>
    <t>igény</t>
  </si>
  <si>
    <t>foglalható</t>
  </si>
  <si>
    <t>Szabad területek</t>
  </si>
  <si>
    <r>
      <t>40,</t>
    </r>
    <r>
      <rPr>
        <sz val="11"/>
        <color rgb="FFFF0000"/>
        <rFont val="Calibri"/>
        <family val="2"/>
        <charset val="238"/>
        <scheme val="minor"/>
      </rPr>
      <t xml:space="preserve"> 35</t>
    </r>
  </si>
  <si>
    <r>
      <t>40,</t>
    </r>
    <r>
      <rPr>
        <sz val="11"/>
        <color rgb="FFFF0000"/>
        <rFont val="Calibri"/>
        <family val="2"/>
        <charset val="238"/>
        <scheme val="minor"/>
      </rPr>
      <t xml:space="preserve"> 5</t>
    </r>
  </si>
  <si>
    <r>
      <t>20,</t>
    </r>
    <r>
      <rPr>
        <sz val="11"/>
        <color rgb="FFFF0000"/>
        <rFont val="Calibri"/>
        <family val="2"/>
        <charset val="238"/>
        <scheme val="minor"/>
      </rPr>
      <t xml:space="preserve"> 10</t>
    </r>
  </si>
  <si>
    <r>
      <t>24,</t>
    </r>
    <r>
      <rPr>
        <sz val="11"/>
        <color rgb="FFFF0000"/>
        <rFont val="Calibri"/>
        <family val="2"/>
        <charset val="238"/>
        <scheme val="minor"/>
      </rPr>
      <t xml:space="preserve"> 11</t>
    </r>
  </si>
  <si>
    <t>First fit</t>
  </si>
  <si>
    <t>Szabad partíciók</t>
  </si>
  <si>
    <t>Legkisebb eddigi foglalás</t>
  </si>
  <si>
    <t>Maradékok</t>
  </si>
  <si>
    <t>Túl kicsi blokkok</t>
  </si>
  <si>
    <t>Össz:</t>
  </si>
  <si>
    <t>Blokkosítás miatti töredezettség</t>
  </si>
  <si>
    <t>nincs lefoglalás</t>
  </si>
  <si>
    <t>elveszett memóriaterület %</t>
  </si>
  <si>
    <t>Nem teljesült igény</t>
  </si>
  <si>
    <t>Worst fit</t>
  </si>
  <si>
    <t>40, 35</t>
  </si>
  <si>
    <t>40, 5</t>
  </si>
  <si>
    <t>20, 15</t>
  </si>
  <si>
    <t>24, 11</t>
  </si>
  <si>
    <t>Best fit</t>
  </si>
  <si>
    <t>30, 6</t>
  </si>
  <si>
    <t>Next fit</t>
  </si>
  <si>
    <t>40, 15</t>
  </si>
  <si>
    <t>20, 10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</si>
</sst>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0" fillId="0" borderId="1" xfId="0" applyBorder="1"/>
    <xf numFmtId="0" fontId="6" fillId="0" borderId="1" xfId="0" applyFont="1" applyBorder="1"/>
    <xf numFmtId="0" fontId="4" fillId="0" borderId="4" xfId="0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6" fillId="0" borderId="6" xfId="0" applyFont="1" applyBorder="1"/>
    <xf numFmtId="0" fontId="1" fillId="0" borderId="1" xfId="0" applyFont="1" applyBorder="1"/>
    <xf numFmtId="0" fontId="4" fillId="0" borderId="3" xfId="0" applyFont="1" applyBorder="1"/>
    <xf numFmtId="0" fontId="0" fillId="2" borderId="0" xfId="0" applyFill="1"/>
    <xf numFmtId="0" fontId="4" fillId="0" borderId="0" xfId="0" applyFont="1" applyAlignment="1">
      <alignment wrapText="1"/>
    </xf>
    <xf numFmtId="10" fontId="4" fillId="0" borderId="0" xfId="1" applyNumberFormat="1" applyFont="1"/>
    <xf numFmtId="0" fontId="1" fillId="3" borderId="1" xfId="0" applyFont="1" applyFill="1" applyBorder="1"/>
    <xf numFmtId="0" fontId="4" fillId="3" borderId="3" xfId="0" applyFont="1" applyFill="1" applyBorder="1"/>
    <xf numFmtId="0" fontId="0" fillId="3" borderId="6" xfId="0" applyFill="1" applyBorder="1"/>
    <xf numFmtId="0" fontId="0" fillId="3" borderId="1" xfId="0" applyFill="1" applyBorder="1"/>
    <xf numFmtId="0" fontId="6" fillId="3" borderId="1" xfId="0" applyFont="1" applyFill="1" applyBorder="1"/>
    <xf numFmtId="0" fontId="7" fillId="0" borderId="1" xfId="0" applyFont="1" applyBorder="1"/>
    <xf numFmtId="0" fontId="6" fillId="0" borderId="5" xfId="0" applyFont="1" applyBorder="1"/>
    <xf numFmtId="0" fontId="7" fillId="0" borderId="2" xfId="0" applyFont="1" applyBorder="1"/>
    <xf numFmtId="0" fontId="7" fillId="0" borderId="5" xfId="0" applyFont="1" applyBorder="1"/>
    <xf numFmtId="0" fontId="7" fillId="0" borderId="6" xfId="0" applyFont="1" applyBorder="1"/>
    <xf numFmtId="0" fontId="7" fillId="3" borderId="6" xfId="0" applyFont="1" applyFill="1" applyBorder="1"/>
    <xf numFmtId="0" fontId="7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58"/>
  <sheetViews>
    <sheetView tabSelected="1" workbookViewId="0">
      <selection activeCell="C61" sqref="C61"/>
    </sheetView>
  </sheetViews>
  <sheetFormatPr defaultRowHeight="15" x14ac:dyDescent="0.25"/>
  <cols>
    <col min="2" max="2" width="10" bestFit="1" customWidth="1"/>
    <col min="11" max="11" width="21.140625" bestFit="1" customWidth="1"/>
  </cols>
  <sheetData>
    <row r="2" spans="1:18" x14ac:dyDescent="0.25">
      <c r="A2" s="11" t="s">
        <v>7</v>
      </c>
    </row>
    <row r="3" spans="1:18" x14ac:dyDescent="0.25">
      <c r="A3" s="2"/>
      <c r="B3" s="2"/>
      <c r="C3" s="26" t="s">
        <v>2</v>
      </c>
      <c r="D3" s="26"/>
      <c r="E3" s="26"/>
      <c r="F3" s="26"/>
      <c r="G3" s="26"/>
      <c r="H3" s="26"/>
      <c r="K3" t="s">
        <v>9</v>
      </c>
      <c r="L3">
        <v>20</v>
      </c>
      <c r="R3" s="1" t="s">
        <v>12</v>
      </c>
    </row>
    <row r="4" spans="1:18" ht="15.75" thickBot="1" x14ac:dyDescent="0.3">
      <c r="A4" s="2" t="s">
        <v>0</v>
      </c>
      <c r="B4" s="2" t="s">
        <v>1</v>
      </c>
      <c r="C4" s="4">
        <v>30</v>
      </c>
      <c r="D4" s="4">
        <v>35</v>
      </c>
      <c r="E4" s="4">
        <v>15</v>
      </c>
      <c r="F4" s="4">
        <v>25</v>
      </c>
      <c r="G4" s="4">
        <v>75</v>
      </c>
      <c r="H4" s="4">
        <v>45</v>
      </c>
      <c r="K4" t="s">
        <v>10</v>
      </c>
      <c r="L4">
        <f>MOD(C11,4)</f>
        <v>2</v>
      </c>
      <c r="M4">
        <f t="shared" ref="M4:Q4" si="0">MOD(D11,4)</f>
        <v>3</v>
      </c>
      <c r="N4">
        <f t="shared" si="0"/>
        <v>3</v>
      </c>
      <c r="O4">
        <f t="shared" si="0"/>
        <v>1</v>
      </c>
      <c r="P4">
        <f t="shared" si="0"/>
        <v>3</v>
      </c>
      <c r="Q4">
        <f t="shared" si="0"/>
        <v>1</v>
      </c>
      <c r="R4" s="1">
        <f>SUM(L4:Q4)</f>
        <v>13</v>
      </c>
    </row>
    <row r="5" spans="1:18" ht="15.75" thickTop="1" x14ac:dyDescent="0.25">
      <c r="A5" s="9">
        <v>39</v>
      </c>
      <c r="B5" s="10">
        <v>40</v>
      </c>
      <c r="C5" s="5">
        <v>30</v>
      </c>
      <c r="D5" s="6">
        <v>35</v>
      </c>
      <c r="E5" s="6">
        <v>15</v>
      </c>
      <c r="F5" s="6">
        <v>25</v>
      </c>
      <c r="G5" s="6" t="s">
        <v>3</v>
      </c>
      <c r="H5" s="6">
        <v>45</v>
      </c>
      <c r="K5" t="s">
        <v>11</v>
      </c>
      <c r="L5">
        <f>IF(C11&lt;$L$3,C11,0)</f>
        <v>10</v>
      </c>
      <c r="M5">
        <f t="shared" ref="M5:Q5" si="1">IF(D11&lt;$L$3,D11,0)</f>
        <v>11</v>
      </c>
      <c r="N5">
        <f t="shared" si="1"/>
        <v>15</v>
      </c>
      <c r="O5">
        <f t="shared" si="1"/>
        <v>0</v>
      </c>
      <c r="P5">
        <f t="shared" si="1"/>
        <v>0</v>
      </c>
      <c r="Q5">
        <f t="shared" si="1"/>
        <v>5</v>
      </c>
      <c r="R5" s="1">
        <f>SUM(L5:Q5)</f>
        <v>41</v>
      </c>
    </row>
    <row r="6" spans="1:18" x14ac:dyDescent="0.25">
      <c r="A6" s="9">
        <v>40</v>
      </c>
      <c r="B6" s="10">
        <v>40</v>
      </c>
      <c r="C6" s="7">
        <v>30</v>
      </c>
      <c r="D6" s="2">
        <v>35</v>
      </c>
      <c r="E6" s="2">
        <v>15</v>
      </c>
      <c r="F6" s="2">
        <v>25</v>
      </c>
      <c r="G6" s="3">
        <v>35</v>
      </c>
      <c r="H6" s="2" t="s">
        <v>4</v>
      </c>
      <c r="K6" t="s">
        <v>13</v>
      </c>
    </row>
    <row r="7" spans="1:18" x14ac:dyDescent="0.25">
      <c r="A7" s="14">
        <v>33</v>
      </c>
      <c r="B7" s="15">
        <v>36</v>
      </c>
      <c r="C7" s="16">
        <v>30</v>
      </c>
      <c r="D7" s="17">
        <v>35</v>
      </c>
      <c r="E7" s="17">
        <v>15</v>
      </c>
      <c r="F7" s="17">
        <v>25</v>
      </c>
      <c r="G7" s="18">
        <v>35</v>
      </c>
      <c r="H7" s="18">
        <v>5</v>
      </c>
      <c r="L7">
        <f>B5-A5</f>
        <v>1</v>
      </c>
    </row>
    <row r="8" spans="1:18" x14ac:dyDescent="0.25">
      <c r="A8" s="9">
        <v>20</v>
      </c>
      <c r="B8" s="10">
        <v>20</v>
      </c>
      <c r="C8" s="7" t="s">
        <v>5</v>
      </c>
      <c r="D8" s="2">
        <v>35</v>
      </c>
      <c r="E8" s="2">
        <v>15</v>
      </c>
      <c r="F8" s="2">
        <v>25</v>
      </c>
      <c r="G8" s="3">
        <v>35</v>
      </c>
      <c r="H8" s="3">
        <v>5</v>
      </c>
      <c r="L8">
        <f t="shared" ref="L8:L11" si="2">B6-A6</f>
        <v>0</v>
      </c>
    </row>
    <row r="9" spans="1:18" x14ac:dyDescent="0.25">
      <c r="A9" s="9">
        <v>21</v>
      </c>
      <c r="B9" s="10">
        <v>24</v>
      </c>
      <c r="C9" s="8">
        <v>10</v>
      </c>
      <c r="D9" s="2" t="s">
        <v>6</v>
      </c>
      <c r="E9" s="2">
        <v>15</v>
      </c>
      <c r="F9" s="2">
        <v>25</v>
      </c>
      <c r="G9" s="3">
        <v>35</v>
      </c>
      <c r="H9" s="3">
        <v>5</v>
      </c>
      <c r="L9">
        <f t="shared" si="2"/>
        <v>3</v>
      </c>
      <c r="M9" t="s">
        <v>14</v>
      </c>
      <c r="R9" s="1">
        <f>SUM(L7:L11)-L9</f>
        <v>4</v>
      </c>
    </row>
    <row r="10" spans="1:18" x14ac:dyDescent="0.25">
      <c r="L10">
        <f t="shared" si="2"/>
        <v>0</v>
      </c>
    </row>
    <row r="11" spans="1:18" x14ac:dyDescent="0.25">
      <c r="A11" s="26" t="s">
        <v>8</v>
      </c>
      <c r="B11" s="26"/>
      <c r="C11" s="2">
        <v>10</v>
      </c>
      <c r="D11" s="2">
        <v>11</v>
      </c>
      <c r="E11" s="2">
        <v>15</v>
      </c>
      <c r="F11" s="2">
        <v>25</v>
      </c>
      <c r="G11" s="2">
        <v>35</v>
      </c>
      <c r="H11" s="2">
        <v>5</v>
      </c>
      <c r="L11">
        <f t="shared" si="2"/>
        <v>3</v>
      </c>
    </row>
    <row r="12" spans="1:18" ht="30" x14ac:dyDescent="0.25">
      <c r="A12" s="27" t="s">
        <v>16</v>
      </c>
      <c r="B12" s="27"/>
      <c r="C12">
        <v>1</v>
      </c>
      <c r="K12" s="12" t="s">
        <v>15</v>
      </c>
    </row>
    <row r="13" spans="1:18" x14ac:dyDescent="0.25">
      <c r="K13" s="13">
        <f>SUM(R4:R11)/SUM(C4:H4)</f>
        <v>0.25777777777777777</v>
      </c>
    </row>
    <row r="16" spans="1:18" x14ac:dyDescent="0.25">
      <c r="A16" s="11" t="s">
        <v>17</v>
      </c>
    </row>
    <row r="17" spans="1:18" x14ac:dyDescent="0.25">
      <c r="A17" s="2"/>
      <c r="B17" s="2"/>
      <c r="C17" s="26" t="s">
        <v>2</v>
      </c>
      <c r="D17" s="26"/>
      <c r="E17" s="26"/>
      <c r="F17" s="26"/>
      <c r="G17" s="26"/>
      <c r="H17" s="26"/>
      <c r="K17" t="s">
        <v>9</v>
      </c>
      <c r="L17">
        <v>20</v>
      </c>
      <c r="R17" s="1" t="s">
        <v>12</v>
      </c>
    </row>
    <row r="18" spans="1:18" ht="15.75" thickBot="1" x14ac:dyDescent="0.3">
      <c r="A18" s="2" t="s">
        <v>0</v>
      </c>
      <c r="B18" s="2" t="s">
        <v>1</v>
      </c>
      <c r="C18" s="4">
        <v>30</v>
      </c>
      <c r="D18" s="4">
        <v>35</v>
      </c>
      <c r="E18" s="4">
        <v>15</v>
      </c>
      <c r="F18" s="4">
        <v>25</v>
      </c>
      <c r="G18" s="4">
        <v>75</v>
      </c>
      <c r="H18" s="4">
        <v>45</v>
      </c>
      <c r="K18" t="s">
        <v>10</v>
      </c>
      <c r="L18">
        <f>MOD(C25,4)</f>
        <v>2</v>
      </c>
      <c r="M18">
        <f t="shared" ref="M18" si="3">MOD(D25,4)</f>
        <v>3</v>
      </c>
      <c r="N18">
        <f t="shared" ref="N18" si="4">MOD(E25,4)</f>
        <v>3</v>
      </c>
      <c r="O18">
        <f t="shared" ref="O18" si="5">MOD(F25,4)</f>
        <v>1</v>
      </c>
      <c r="P18">
        <f t="shared" ref="P18" si="6">MOD(G25,4)</f>
        <v>3</v>
      </c>
      <c r="Q18">
        <f t="shared" ref="Q18" si="7">MOD(H25,4)</f>
        <v>1</v>
      </c>
      <c r="R18" s="1">
        <f>SUM(L18:Q18)</f>
        <v>13</v>
      </c>
    </row>
    <row r="19" spans="1:18" ht="15.75" thickTop="1" x14ac:dyDescent="0.25">
      <c r="A19" s="9">
        <v>39</v>
      </c>
      <c r="B19" s="10">
        <v>40</v>
      </c>
      <c r="C19" s="5">
        <v>30</v>
      </c>
      <c r="D19" s="6">
        <v>35</v>
      </c>
      <c r="E19" s="6">
        <v>15</v>
      </c>
      <c r="F19" s="6">
        <v>25</v>
      </c>
      <c r="G19" s="20" t="s">
        <v>18</v>
      </c>
      <c r="H19" s="6">
        <v>45</v>
      </c>
      <c r="K19" t="s">
        <v>11</v>
      </c>
      <c r="L19">
        <f>IF(C25&lt;$L$17,C25,0)</f>
        <v>0</v>
      </c>
      <c r="M19">
        <f t="shared" ref="M19:Q19" si="8">IF(D25&lt;$L$17,D25,0)</f>
        <v>15</v>
      </c>
      <c r="N19">
        <f t="shared" si="8"/>
        <v>15</v>
      </c>
      <c r="O19">
        <f t="shared" si="8"/>
        <v>0</v>
      </c>
      <c r="P19">
        <f t="shared" si="8"/>
        <v>11</v>
      </c>
      <c r="Q19">
        <f t="shared" si="8"/>
        <v>5</v>
      </c>
      <c r="R19" s="1">
        <f>SUM(L19:Q19)</f>
        <v>46</v>
      </c>
    </row>
    <row r="20" spans="1:18" x14ac:dyDescent="0.25">
      <c r="A20" s="9">
        <v>40</v>
      </c>
      <c r="B20" s="10">
        <v>40</v>
      </c>
      <c r="C20" s="7">
        <v>30</v>
      </c>
      <c r="D20" s="2">
        <v>35</v>
      </c>
      <c r="E20" s="2">
        <v>15</v>
      </c>
      <c r="F20" s="2">
        <v>25</v>
      </c>
      <c r="G20" s="3">
        <v>35</v>
      </c>
      <c r="H20" s="3" t="s">
        <v>19</v>
      </c>
      <c r="K20" t="s">
        <v>13</v>
      </c>
    </row>
    <row r="21" spans="1:18" x14ac:dyDescent="0.25">
      <c r="A21" s="14">
        <v>33</v>
      </c>
      <c r="B21" s="15">
        <v>36</v>
      </c>
      <c r="C21" s="16">
        <v>30</v>
      </c>
      <c r="D21" s="17">
        <v>35</v>
      </c>
      <c r="E21" s="17">
        <v>15</v>
      </c>
      <c r="F21" s="17">
        <v>25</v>
      </c>
      <c r="G21" s="18">
        <v>35</v>
      </c>
      <c r="H21" s="18">
        <v>5</v>
      </c>
      <c r="L21">
        <f>B19-A19</f>
        <v>1</v>
      </c>
    </row>
    <row r="22" spans="1:18" x14ac:dyDescent="0.25">
      <c r="A22" s="9">
        <v>20</v>
      </c>
      <c r="B22" s="10">
        <v>20</v>
      </c>
      <c r="C22" s="7">
        <v>30</v>
      </c>
      <c r="D22" s="3" t="s">
        <v>20</v>
      </c>
      <c r="E22" s="2">
        <v>15</v>
      </c>
      <c r="F22" s="2">
        <v>25</v>
      </c>
      <c r="G22" s="3">
        <v>35</v>
      </c>
      <c r="H22" s="3">
        <v>5</v>
      </c>
      <c r="L22">
        <f t="shared" ref="L22:L25" si="9">B20-A20</f>
        <v>0</v>
      </c>
    </row>
    <row r="23" spans="1:18" x14ac:dyDescent="0.25">
      <c r="A23" s="9">
        <v>21</v>
      </c>
      <c r="B23" s="10">
        <v>24</v>
      </c>
      <c r="C23" s="8">
        <v>30</v>
      </c>
      <c r="D23" s="3">
        <v>15</v>
      </c>
      <c r="E23" s="2">
        <v>15</v>
      </c>
      <c r="F23" s="2">
        <v>25</v>
      </c>
      <c r="G23" s="3" t="s">
        <v>21</v>
      </c>
      <c r="H23" s="3">
        <v>5</v>
      </c>
      <c r="L23">
        <f t="shared" si="9"/>
        <v>3</v>
      </c>
      <c r="M23" t="s">
        <v>14</v>
      </c>
      <c r="R23" s="1">
        <f>SUM(L21:L25)-L23</f>
        <v>4</v>
      </c>
    </row>
    <row r="24" spans="1:18" x14ac:dyDescent="0.25">
      <c r="L24">
        <f t="shared" si="9"/>
        <v>0</v>
      </c>
    </row>
    <row r="25" spans="1:18" x14ac:dyDescent="0.25">
      <c r="A25" s="26" t="s">
        <v>8</v>
      </c>
      <c r="B25" s="26"/>
      <c r="C25" s="2">
        <v>30</v>
      </c>
      <c r="D25" s="2">
        <v>15</v>
      </c>
      <c r="E25" s="2">
        <v>15</v>
      </c>
      <c r="F25" s="2">
        <v>25</v>
      </c>
      <c r="G25" s="2">
        <v>11</v>
      </c>
      <c r="H25" s="2">
        <v>5</v>
      </c>
      <c r="L25">
        <f t="shared" si="9"/>
        <v>3</v>
      </c>
    </row>
    <row r="26" spans="1:18" ht="30" x14ac:dyDescent="0.25">
      <c r="A26" s="27" t="s">
        <v>16</v>
      </c>
      <c r="B26" s="27"/>
      <c r="C26">
        <v>1</v>
      </c>
      <c r="K26" s="12" t="s">
        <v>15</v>
      </c>
    </row>
    <row r="27" spans="1:18" x14ac:dyDescent="0.25">
      <c r="K27" s="13">
        <f>SUM(R18:R25)/SUM(C18:H18)</f>
        <v>0.28000000000000003</v>
      </c>
    </row>
    <row r="32" spans="1:18" x14ac:dyDescent="0.25">
      <c r="A32" s="11" t="s">
        <v>22</v>
      </c>
    </row>
    <row r="33" spans="1:18" x14ac:dyDescent="0.25">
      <c r="A33" s="2"/>
      <c r="B33" s="2"/>
      <c r="C33" s="26" t="s">
        <v>2</v>
      </c>
      <c r="D33" s="26"/>
      <c r="E33" s="26"/>
      <c r="F33" s="26"/>
      <c r="G33" s="26"/>
      <c r="H33" s="26"/>
      <c r="K33" t="s">
        <v>9</v>
      </c>
      <c r="L33">
        <v>20</v>
      </c>
      <c r="R33" s="1" t="s">
        <v>12</v>
      </c>
    </row>
    <row r="34" spans="1:18" ht="15.75" thickBot="1" x14ac:dyDescent="0.3">
      <c r="A34" s="2" t="s">
        <v>0</v>
      </c>
      <c r="B34" s="2" t="s">
        <v>1</v>
      </c>
      <c r="C34" s="4">
        <v>30</v>
      </c>
      <c r="D34" s="4">
        <v>35</v>
      </c>
      <c r="E34" s="4">
        <v>15</v>
      </c>
      <c r="F34" s="4">
        <v>25</v>
      </c>
      <c r="G34" s="4">
        <v>75</v>
      </c>
      <c r="H34" s="4">
        <v>45</v>
      </c>
      <c r="K34" t="s">
        <v>10</v>
      </c>
      <c r="L34">
        <f>MOD(C41,4)</f>
        <v>2</v>
      </c>
      <c r="M34">
        <f t="shared" ref="M34" si="10">MOD(D41,4)</f>
        <v>3</v>
      </c>
      <c r="N34">
        <f t="shared" ref="N34" si="11">MOD(E41,4)</f>
        <v>3</v>
      </c>
      <c r="O34">
        <f t="shared" ref="O34" si="12">MOD(F41,4)</f>
        <v>1</v>
      </c>
      <c r="P34">
        <f t="shared" ref="P34" si="13">MOD(G41,4)</f>
        <v>3</v>
      </c>
      <c r="Q34">
        <f t="shared" ref="Q34" si="14">MOD(H41,4)</f>
        <v>1</v>
      </c>
      <c r="R34" s="1">
        <f>SUM(L34:Q34)</f>
        <v>13</v>
      </c>
    </row>
    <row r="35" spans="1:18" ht="15.75" thickTop="1" x14ac:dyDescent="0.25">
      <c r="A35" s="9">
        <v>39</v>
      </c>
      <c r="B35" s="10">
        <v>40</v>
      </c>
      <c r="C35" s="5">
        <v>30</v>
      </c>
      <c r="D35" s="6">
        <v>35</v>
      </c>
      <c r="E35" s="6">
        <v>15</v>
      </c>
      <c r="F35" s="6">
        <v>25</v>
      </c>
      <c r="G35" s="6">
        <v>75</v>
      </c>
      <c r="H35" s="20" t="s">
        <v>19</v>
      </c>
      <c r="K35" t="s">
        <v>11</v>
      </c>
      <c r="L35">
        <f>IF(C41&lt;$L$17,C41,0)</f>
        <v>6</v>
      </c>
      <c r="M35">
        <f t="shared" ref="M35" si="15">IF(D41&lt;$L$17,D41,0)</f>
        <v>0</v>
      </c>
      <c r="N35">
        <f t="shared" ref="N35" si="16">IF(E41&lt;$L$17,E41,0)</f>
        <v>15</v>
      </c>
      <c r="O35">
        <f t="shared" ref="O35" si="17">IF(F41&lt;$L$17,F41,0)</f>
        <v>5</v>
      </c>
      <c r="P35">
        <f t="shared" ref="P35" si="18">IF(G41&lt;$L$17,G41,0)</f>
        <v>0</v>
      </c>
      <c r="Q35">
        <f t="shared" ref="Q35" si="19">IF(H41&lt;$L$17,H41,0)</f>
        <v>5</v>
      </c>
      <c r="R35" s="1">
        <f>SUM(L35:Q35)</f>
        <v>31</v>
      </c>
    </row>
    <row r="36" spans="1:18" x14ac:dyDescent="0.25">
      <c r="A36" s="9">
        <v>40</v>
      </c>
      <c r="B36" s="10">
        <v>40</v>
      </c>
      <c r="C36" s="7">
        <v>30</v>
      </c>
      <c r="D36" s="2">
        <v>35</v>
      </c>
      <c r="E36" s="2">
        <v>15</v>
      </c>
      <c r="F36" s="2">
        <v>25</v>
      </c>
      <c r="G36" s="3" t="s">
        <v>18</v>
      </c>
      <c r="H36" s="3">
        <v>5</v>
      </c>
      <c r="K36" t="s">
        <v>13</v>
      </c>
    </row>
    <row r="37" spans="1:18" x14ac:dyDescent="0.25">
      <c r="A37" s="14">
        <v>33</v>
      </c>
      <c r="B37" s="15">
        <v>36</v>
      </c>
      <c r="C37" s="16">
        <v>30</v>
      </c>
      <c r="D37" s="17">
        <v>35</v>
      </c>
      <c r="E37" s="17">
        <v>15</v>
      </c>
      <c r="F37" s="17">
        <v>25</v>
      </c>
      <c r="G37" s="18">
        <v>35</v>
      </c>
      <c r="H37" s="18">
        <v>5</v>
      </c>
      <c r="L37">
        <f>B35-A35</f>
        <v>1</v>
      </c>
    </row>
    <row r="38" spans="1:18" x14ac:dyDescent="0.25">
      <c r="A38" s="9">
        <v>20</v>
      </c>
      <c r="B38" s="10">
        <v>20</v>
      </c>
      <c r="C38" s="7">
        <v>30</v>
      </c>
      <c r="D38" s="2">
        <v>35</v>
      </c>
      <c r="E38" s="2">
        <v>15</v>
      </c>
      <c r="F38" s="3">
        <v>20.5</v>
      </c>
      <c r="G38" s="3">
        <v>35</v>
      </c>
      <c r="H38" s="3">
        <v>5</v>
      </c>
      <c r="L38">
        <f t="shared" ref="L38:L41" si="20">B36-A36</f>
        <v>0</v>
      </c>
    </row>
    <row r="39" spans="1:18" x14ac:dyDescent="0.25">
      <c r="A39" s="9">
        <v>21</v>
      </c>
      <c r="B39" s="10">
        <v>24</v>
      </c>
      <c r="C39" s="8" t="s">
        <v>23</v>
      </c>
      <c r="D39" s="2">
        <v>35</v>
      </c>
      <c r="E39" s="2">
        <v>15</v>
      </c>
      <c r="F39" s="2">
        <v>5</v>
      </c>
      <c r="G39" s="3">
        <v>35</v>
      </c>
      <c r="H39" s="3">
        <v>5</v>
      </c>
      <c r="L39">
        <f t="shared" si="20"/>
        <v>3</v>
      </c>
      <c r="M39" t="s">
        <v>14</v>
      </c>
      <c r="R39" s="1">
        <f>SUM(L37:L41)-L39</f>
        <v>4</v>
      </c>
    </row>
    <row r="40" spans="1:18" x14ac:dyDescent="0.25">
      <c r="L40">
        <f t="shared" si="20"/>
        <v>0</v>
      </c>
    </row>
    <row r="41" spans="1:18" x14ac:dyDescent="0.25">
      <c r="A41" s="26" t="s">
        <v>8</v>
      </c>
      <c r="B41" s="26"/>
      <c r="C41" s="2">
        <v>6</v>
      </c>
      <c r="D41" s="2">
        <v>35</v>
      </c>
      <c r="E41" s="2">
        <v>15</v>
      </c>
      <c r="F41" s="2">
        <v>5</v>
      </c>
      <c r="G41" s="2">
        <v>35</v>
      </c>
      <c r="H41" s="2">
        <v>5</v>
      </c>
      <c r="L41">
        <f t="shared" si="20"/>
        <v>3</v>
      </c>
    </row>
    <row r="42" spans="1:18" ht="30" x14ac:dyDescent="0.25">
      <c r="A42" s="27" t="s">
        <v>16</v>
      </c>
      <c r="B42" s="27"/>
      <c r="C42">
        <v>1</v>
      </c>
      <c r="K42" s="12" t="s">
        <v>15</v>
      </c>
    </row>
    <row r="43" spans="1:18" x14ac:dyDescent="0.25">
      <c r="K43" s="13">
        <f>SUM(R34:R41)/SUM(C34:H34)</f>
        <v>0.21333333333333335</v>
      </c>
    </row>
    <row r="47" spans="1:18" x14ac:dyDescent="0.25">
      <c r="A47" s="11" t="s">
        <v>24</v>
      </c>
    </row>
    <row r="48" spans="1:18" x14ac:dyDescent="0.25">
      <c r="A48" s="2"/>
      <c r="B48" s="2"/>
      <c r="C48" s="26" t="s">
        <v>2</v>
      </c>
      <c r="D48" s="26"/>
      <c r="E48" s="26"/>
      <c r="F48" s="26"/>
      <c r="G48" s="26"/>
      <c r="H48" s="26"/>
      <c r="K48" t="s">
        <v>9</v>
      </c>
      <c r="L48">
        <v>20</v>
      </c>
      <c r="R48" s="1" t="s">
        <v>12</v>
      </c>
    </row>
    <row r="49" spans="1:18" ht="15.75" thickBot="1" x14ac:dyDescent="0.3">
      <c r="A49" s="2" t="s">
        <v>0</v>
      </c>
      <c r="B49" s="2" t="s">
        <v>1</v>
      </c>
      <c r="C49" s="4">
        <v>30</v>
      </c>
      <c r="D49" s="4">
        <v>35</v>
      </c>
      <c r="E49" s="4">
        <v>15</v>
      </c>
      <c r="F49" s="4">
        <v>25</v>
      </c>
      <c r="G49" s="4">
        <v>75</v>
      </c>
      <c r="H49" s="4">
        <v>45</v>
      </c>
      <c r="K49" t="s">
        <v>10</v>
      </c>
      <c r="L49">
        <f>MOD(C56,4)</f>
        <v>2</v>
      </c>
      <c r="M49">
        <f t="shared" ref="M49" si="21">MOD(D56,4)</f>
        <v>3</v>
      </c>
      <c r="N49">
        <f t="shared" ref="N49" si="22">MOD(E56,4)</f>
        <v>3</v>
      </c>
      <c r="O49">
        <f t="shared" ref="O49" si="23">MOD(F56,4)</f>
        <v>1</v>
      </c>
      <c r="P49">
        <f t="shared" ref="P49" si="24">MOD(G56,4)</f>
        <v>3</v>
      </c>
      <c r="Q49">
        <f t="shared" ref="Q49" si="25">MOD(H56,4)</f>
        <v>1</v>
      </c>
      <c r="R49" s="1">
        <f>SUM(L49:Q49)</f>
        <v>13</v>
      </c>
    </row>
    <row r="50" spans="1:18" ht="15.75" thickTop="1" x14ac:dyDescent="0.25">
      <c r="A50" s="9">
        <v>39</v>
      </c>
      <c r="B50" s="10">
        <v>40</v>
      </c>
      <c r="C50" s="21">
        <v>30</v>
      </c>
      <c r="D50" s="22">
        <v>35</v>
      </c>
      <c r="E50" s="22">
        <v>15</v>
      </c>
      <c r="F50" s="22">
        <v>25</v>
      </c>
      <c r="G50" s="20" t="s">
        <v>25</v>
      </c>
      <c r="H50" s="22">
        <v>45</v>
      </c>
      <c r="K50" t="s">
        <v>11</v>
      </c>
      <c r="L50">
        <f>IF(C56&lt;$L$17,C56,0)</f>
        <v>10</v>
      </c>
      <c r="M50">
        <f t="shared" ref="M50" si="26">IF(D56&lt;$L$17,D56,0)</f>
        <v>11</v>
      </c>
      <c r="N50">
        <f t="shared" ref="N50" si="27">IF(E56&lt;$L$17,E56,0)</f>
        <v>15</v>
      </c>
      <c r="O50">
        <f t="shared" ref="O50" si="28">IF(F56&lt;$L$17,F56,0)</f>
        <v>0</v>
      </c>
      <c r="P50">
        <f t="shared" ref="P50" si="29">IF(G56&lt;$L$17,G56,0)</f>
        <v>15</v>
      </c>
      <c r="Q50">
        <f t="shared" ref="Q50" si="30">IF(H56&lt;$L$17,H56,0)</f>
        <v>5</v>
      </c>
      <c r="R50" s="1">
        <f>SUM(L50:Q50)</f>
        <v>56</v>
      </c>
    </row>
    <row r="51" spans="1:18" x14ac:dyDescent="0.25">
      <c r="A51" s="9">
        <v>40</v>
      </c>
      <c r="B51" s="10">
        <v>40</v>
      </c>
      <c r="C51" s="23">
        <v>30</v>
      </c>
      <c r="D51" s="19">
        <v>35</v>
      </c>
      <c r="E51" s="19">
        <v>15</v>
      </c>
      <c r="F51" s="19">
        <v>25</v>
      </c>
      <c r="G51" s="3">
        <v>15</v>
      </c>
      <c r="H51" s="3" t="s">
        <v>19</v>
      </c>
      <c r="K51" t="s">
        <v>13</v>
      </c>
    </row>
    <row r="52" spans="1:18" x14ac:dyDescent="0.25">
      <c r="A52" s="14">
        <v>33</v>
      </c>
      <c r="B52" s="15">
        <v>36</v>
      </c>
      <c r="C52" s="24">
        <v>30</v>
      </c>
      <c r="D52" s="25">
        <v>35</v>
      </c>
      <c r="E52" s="25">
        <v>15</v>
      </c>
      <c r="F52" s="25">
        <v>25</v>
      </c>
      <c r="G52" s="18">
        <v>15</v>
      </c>
      <c r="H52" s="18">
        <v>5</v>
      </c>
      <c r="L52">
        <f>B50-A50</f>
        <v>1</v>
      </c>
    </row>
    <row r="53" spans="1:18" x14ac:dyDescent="0.25">
      <c r="A53" s="9">
        <v>20</v>
      </c>
      <c r="B53" s="10">
        <v>20</v>
      </c>
      <c r="C53" s="8" t="s">
        <v>26</v>
      </c>
      <c r="D53" s="19">
        <v>35</v>
      </c>
      <c r="E53" s="19">
        <v>15</v>
      </c>
      <c r="F53" s="19">
        <v>25</v>
      </c>
      <c r="G53" s="3">
        <v>15</v>
      </c>
      <c r="H53" s="3">
        <v>5</v>
      </c>
      <c r="L53">
        <f t="shared" ref="L53:L56" si="31">B51-A51</f>
        <v>0</v>
      </c>
    </row>
    <row r="54" spans="1:18" x14ac:dyDescent="0.25">
      <c r="A54" s="9">
        <v>21</v>
      </c>
      <c r="B54" s="10">
        <v>24</v>
      </c>
      <c r="C54" s="8">
        <v>10</v>
      </c>
      <c r="D54" s="3" t="s">
        <v>21</v>
      </c>
      <c r="E54" s="19">
        <v>15</v>
      </c>
      <c r="F54" s="19">
        <v>25</v>
      </c>
      <c r="G54" s="3">
        <v>15</v>
      </c>
      <c r="H54" s="3">
        <v>5</v>
      </c>
      <c r="L54">
        <f t="shared" si="31"/>
        <v>3</v>
      </c>
      <c r="M54" t="s">
        <v>14</v>
      </c>
      <c r="R54" s="1">
        <f>SUM(L52:L56)-L54</f>
        <v>4</v>
      </c>
    </row>
    <row r="55" spans="1:18" x14ac:dyDescent="0.25">
      <c r="L55">
        <f t="shared" si="31"/>
        <v>0</v>
      </c>
    </row>
    <row r="56" spans="1:18" x14ac:dyDescent="0.25">
      <c r="A56" s="26" t="s">
        <v>8</v>
      </c>
      <c r="B56" s="26"/>
      <c r="C56" s="2">
        <v>10</v>
      </c>
      <c r="D56" s="2">
        <v>11</v>
      </c>
      <c r="E56" s="2">
        <v>15</v>
      </c>
      <c r="F56" s="2">
        <v>25</v>
      </c>
      <c r="G56" s="2">
        <v>15</v>
      </c>
      <c r="H56" s="2">
        <v>5</v>
      </c>
      <c r="L56">
        <f t="shared" si="31"/>
        <v>3</v>
      </c>
    </row>
    <row r="57" spans="1:18" ht="30" x14ac:dyDescent="0.25">
      <c r="A57" s="27" t="s">
        <v>16</v>
      </c>
      <c r="B57" s="27"/>
      <c r="C57">
        <v>1</v>
      </c>
      <c r="K57" s="12" t="s">
        <v>15</v>
      </c>
    </row>
    <row r="58" spans="1:18" x14ac:dyDescent="0.25">
      <c r="K58" s="13">
        <f>SUM(R49:R56)/SUM(C49:H49)</f>
        <v>0.32444444444444442</v>
      </c>
    </row>
  </sheetData>
  <mergeCells count="12">
    <mergeCell ref="C3:H3"/>
    <mergeCell ref="A11:B11"/>
    <mergeCell ref="A12:B12"/>
    <mergeCell ref="C17:H17"/>
    <mergeCell ref="A25:B25"/>
    <mergeCell ref="A56:B56"/>
    <mergeCell ref="A57:B57"/>
    <mergeCell ref="A26:B26"/>
    <mergeCell ref="C33:H33"/>
    <mergeCell ref="A41:B41"/>
    <mergeCell ref="A42:B42"/>
    <mergeCell ref="C48:H4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Koncz József</dc:creator>
  <cp:lastModifiedBy>József Koncz</cp:lastModifiedBy>
  <dcterms:created xsi:type="dcterms:W3CDTF">2015-06-05T18:19:34Z</dcterms:created>
  <dcterms:modified xsi:type="dcterms:W3CDTF">2026-05-09T13:45:32Z</dcterms:modified>
</cp:coreProperties>
</file>