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munka\KUETUO_OSPract\kuetuo_0417\"/>
    </mc:Choice>
  </mc:AlternateContent>
  <xr:revisionPtr revIDLastSave="0" documentId="13_ncr:1_{CE171361-9B31-488B-B147-0ABA0F7E49F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1" l="1"/>
  <c r="L9" i="1"/>
  <c r="R9" i="1" s="1"/>
  <c r="L10" i="1"/>
  <c r="L11" i="1"/>
  <c r="L7" i="1"/>
  <c r="M5" i="1"/>
  <c r="N5" i="1"/>
  <c r="O5" i="1"/>
  <c r="P5" i="1"/>
  <c r="Q5" i="1"/>
  <c r="L5" i="1"/>
  <c r="M4" i="1"/>
  <c r="N4" i="1"/>
  <c r="O4" i="1"/>
  <c r="P4" i="1"/>
  <c r="Q4" i="1"/>
  <c r="L4" i="1"/>
  <c r="R4" i="1" s="1"/>
  <c r="R5" i="1" l="1"/>
  <c r="K13" i="1" s="1"/>
</calcChain>
</file>

<file path=xl/sharedStrings.xml><?xml version="1.0" encoding="utf-8"?>
<sst xmlns="http://schemas.openxmlformats.org/spreadsheetml/2006/main" count="17" uniqueCount="17">
  <si>
    <t>igény</t>
  </si>
  <si>
    <t>foglalható</t>
  </si>
  <si>
    <t>Szabad területek</t>
  </si>
  <si>
    <r>
      <t>40,</t>
    </r>
    <r>
      <rPr>
        <sz val="11"/>
        <color rgb="FFFF0000"/>
        <rFont val="Calibri"/>
        <family val="2"/>
        <charset val="238"/>
        <scheme val="minor"/>
      </rPr>
      <t xml:space="preserve"> 35</t>
    </r>
  </si>
  <si>
    <r>
      <t>40,</t>
    </r>
    <r>
      <rPr>
        <sz val="11"/>
        <color rgb="FFFF0000"/>
        <rFont val="Calibri"/>
        <family val="2"/>
        <charset val="238"/>
        <scheme val="minor"/>
      </rPr>
      <t xml:space="preserve"> 5</t>
    </r>
  </si>
  <si>
    <r>
      <t>20,</t>
    </r>
    <r>
      <rPr>
        <sz val="11"/>
        <color rgb="FFFF0000"/>
        <rFont val="Calibri"/>
        <family val="2"/>
        <charset val="238"/>
        <scheme val="minor"/>
      </rPr>
      <t xml:space="preserve"> 10</t>
    </r>
  </si>
  <si>
    <r>
      <t>24,</t>
    </r>
    <r>
      <rPr>
        <sz val="11"/>
        <color rgb="FFFF0000"/>
        <rFont val="Calibri"/>
        <family val="2"/>
        <charset val="238"/>
        <scheme val="minor"/>
      </rPr>
      <t xml:space="preserve"> 11</t>
    </r>
  </si>
  <si>
    <t>First fit</t>
  </si>
  <si>
    <t>Szabad partíciók</t>
  </si>
  <si>
    <t>Legkisebb eddigi foglalás</t>
  </si>
  <si>
    <t>Maradékok</t>
  </si>
  <si>
    <t>Túl kicsi blokkok</t>
  </si>
  <si>
    <t>Össz:</t>
  </si>
  <si>
    <t>Blokkosítás miatti töredezettség</t>
  </si>
  <si>
    <t>nincs lefoglalás</t>
  </si>
  <si>
    <t>elveszett memóriaterület %</t>
  </si>
  <si>
    <t>Nem teljesült igény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</si>
</sst>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1">
    <xf numFmtId="0" fontId="0" fillId="0" borderId="0" xfId="0"/>
    <xf numFmtId="0" fontId="4" fillId="0" borderId="0" xfId="0" applyFont="1"/>
    <xf numFmtId="0" fontId="0" fillId="0" borderId="1" xfId="0" applyBorder="1"/>
    <xf numFmtId="0" fontId="6" fillId="0" borderId="1" xfId="0" applyFont="1" applyBorder="1"/>
    <xf numFmtId="0" fontId="4" fillId="0" borderId="4" xfId="0" applyFont="1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6" fillId="0" borderId="6" xfId="0" applyFont="1" applyBorder="1"/>
    <xf numFmtId="0" fontId="1" fillId="0" borderId="1" xfId="0" applyFont="1" applyBorder="1"/>
    <xf numFmtId="0" fontId="4" fillId="0" borderId="3" xfId="0" applyFont="1" applyBorder="1"/>
    <xf numFmtId="0" fontId="0" fillId="2" borderId="0" xfId="0" applyFill="1"/>
    <xf numFmtId="0" fontId="4" fillId="0" borderId="0" xfId="0" applyFont="1" applyAlignment="1">
      <alignment wrapText="1"/>
    </xf>
    <xf numFmtId="10" fontId="4" fillId="0" borderId="0" xfId="1" applyNumberFormat="1" applyFont="1"/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3" borderId="1" xfId="0" applyFont="1" applyFill="1" applyBorder="1"/>
    <xf numFmtId="0" fontId="4" fillId="3" borderId="3" xfId="0" applyFont="1" applyFill="1" applyBorder="1"/>
    <xf numFmtId="0" fontId="0" fillId="3" borderId="6" xfId="0" applyFill="1" applyBorder="1"/>
    <xf numFmtId="0" fontId="0" fillId="3" borderId="1" xfId="0" applyFill="1" applyBorder="1"/>
    <xf numFmtId="0" fontId="6" fillId="3" borderId="1" xfId="0" applyFont="1" applyFill="1" applyBorder="1"/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13"/>
  <sheetViews>
    <sheetView tabSelected="1" workbookViewId="0">
      <selection activeCell="K16" sqref="K16"/>
    </sheetView>
  </sheetViews>
  <sheetFormatPr defaultRowHeight="14.4" x14ac:dyDescent="0.3"/>
  <cols>
    <col min="11" max="11" width="21.109375" bestFit="1" customWidth="1"/>
  </cols>
  <sheetData>
    <row r="2" spans="1:18" x14ac:dyDescent="0.3">
      <c r="A2" s="11" t="s">
        <v>7</v>
      </c>
    </row>
    <row r="3" spans="1:18" x14ac:dyDescent="0.3">
      <c r="A3" s="2"/>
      <c r="B3" s="2"/>
      <c r="C3" s="14" t="s">
        <v>2</v>
      </c>
      <c r="D3" s="14"/>
      <c r="E3" s="14"/>
      <c r="F3" s="14"/>
      <c r="G3" s="14"/>
      <c r="H3" s="14"/>
      <c r="K3" t="s">
        <v>9</v>
      </c>
      <c r="L3">
        <v>20</v>
      </c>
      <c r="R3" s="1" t="s">
        <v>12</v>
      </c>
    </row>
    <row r="4" spans="1:18" ht="15" thickBot="1" x14ac:dyDescent="0.35">
      <c r="A4" s="2" t="s">
        <v>0</v>
      </c>
      <c r="B4" s="2" t="s">
        <v>1</v>
      </c>
      <c r="C4" s="4">
        <v>30</v>
      </c>
      <c r="D4" s="4">
        <v>35</v>
      </c>
      <c r="E4" s="4">
        <v>15</v>
      </c>
      <c r="F4" s="4">
        <v>25</v>
      </c>
      <c r="G4" s="4">
        <v>75</v>
      </c>
      <c r="H4" s="4">
        <v>45</v>
      </c>
      <c r="K4" t="s">
        <v>10</v>
      </c>
      <c r="L4">
        <f>MOD(C11,4)</f>
        <v>2</v>
      </c>
      <c r="M4">
        <f t="shared" ref="M4:Q4" si="0">MOD(D11,4)</f>
        <v>3</v>
      </c>
      <c r="N4">
        <f t="shared" si="0"/>
        <v>3</v>
      </c>
      <c r="O4">
        <f t="shared" si="0"/>
        <v>1</v>
      </c>
      <c r="P4">
        <f t="shared" si="0"/>
        <v>3</v>
      </c>
      <c r="Q4">
        <f t="shared" si="0"/>
        <v>1</v>
      </c>
      <c r="R4" s="1">
        <f>SUM(L4:Q4)</f>
        <v>13</v>
      </c>
    </row>
    <row r="5" spans="1:18" ht="15" thickTop="1" x14ac:dyDescent="0.3">
      <c r="A5" s="9">
        <v>39</v>
      </c>
      <c r="B5" s="10">
        <v>40</v>
      </c>
      <c r="C5" s="5">
        <v>30</v>
      </c>
      <c r="D5" s="6">
        <v>35</v>
      </c>
      <c r="E5" s="6">
        <v>15</v>
      </c>
      <c r="F5" s="6">
        <v>25</v>
      </c>
      <c r="G5" s="6" t="s">
        <v>3</v>
      </c>
      <c r="H5" s="6">
        <v>45</v>
      </c>
      <c r="K5" t="s">
        <v>11</v>
      </c>
      <c r="L5">
        <f>IF(C11&lt;$L$3,C11,0)</f>
        <v>10</v>
      </c>
      <c r="M5">
        <f t="shared" ref="M5:Q5" si="1">IF(D11&lt;$L$3,D11,0)</f>
        <v>11</v>
      </c>
      <c r="N5">
        <f t="shared" si="1"/>
        <v>15</v>
      </c>
      <c r="O5">
        <f t="shared" si="1"/>
        <v>0</v>
      </c>
      <c r="P5">
        <f t="shared" si="1"/>
        <v>0</v>
      </c>
      <c r="Q5">
        <f t="shared" si="1"/>
        <v>5</v>
      </c>
      <c r="R5" s="1">
        <f>SUM(L5:Q5)</f>
        <v>41</v>
      </c>
    </row>
    <row r="6" spans="1:18" x14ac:dyDescent="0.3">
      <c r="A6" s="9">
        <v>40</v>
      </c>
      <c r="B6" s="10">
        <v>40</v>
      </c>
      <c r="C6" s="7">
        <v>30</v>
      </c>
      <c r="D6" s="2">
        <v>35</v>
      </c>
      <c r="E6" s="2">
        <v>15</v>
      </c>
      <c r="F6" s="2">
        <v>25</v>
      </c>
      <c r="G6" s="3">
        <v>35</v>
      </c>
      <c r="H6" s="2" t="s">
        <v>4</v>
      </c>
      <c r="K6" t="s">
        <v>13</v>
      </c>
    </row>
    <row r="7" spans="1:18" x14ac:dyDescent="0.3">
      <c r="A7" s="16">
        <v>33</v>
      </c>
      <c r="B7" s="17">
        <v>36</v>
      </c>
      <c r="C7" s="18">
        <v>30</v>
      </c>
      <c r="D7" s="19">
        <v>35</v>
      </c>
      <c r="E7" s="19">
        <v>15</v>
      </c>
      <c r="F7" s="19">
        <v>25</v>
      </c>
      <c r="G7" s="20">
        <v>35</v>
      </c>
      <c r="H7" s="20">
        <v>5</v>
      </c>
      <c r="L7">
        <f>B5-A5</f>
        <v>1</v>
      </c>
    </row>
    <row r="8" spans="1:18" x14ac:dyDescent="0.3">
      <c r="A8" s="9">
        <v>20</v>
      </c>
      <c r="B8" s="10">
        <v>20</v>
      </c>
      <c r="C8" s="7" t="s">
        <v>5</v>
      </c>
      <c r="D8" s="2">
        <v>35</v>
      </c>
      <c r="E8" s="2">
        <v>15</v>
      </c>
      <c r="F8" s="2">
        <v>25</v>
      </c>
      <c r="G8" s="3">
        <v>35</v>
      </c>
      <c r="H8" s="3">
        <v>5</v>
      </c>
      <c r="L8">
        <f t="shared" ref="L8:L11" si="2">B6-A6</f>
        <v>0</v>
      </c>
    </row>
    <row r="9" spans="1:18" x14ac:dyDescent="0.3">
      <c r="A9" s="9">
        <v>21</v>
      </c>
      <c r="B9" s="10">
        <v>24</v>
      </c>
      <c r="C9" s="8">
        <v>10</v>
      </c>
      <c r="D9" s="2" t="s">
        <v>6</v>
      </c>
      <c r="E9" s="2">
        <v>15</v>
      </c>
      <c r="F9" s="2">
        <v>25</v>
      </c>
      <c r="G9" s="3">
        <v>35</v>
      </c>
      <c r="H9" s="3">
        <v>5</v>
      </c>
      <c r="L9">
        <f t="shared" si="2"/>
        <v>3</v>
      </c>
      <c r="M9" t="s">
        <v>14</v>
      </c>
      <c r="R9" s="1">
        <f>SUM(L7:L11)-L9</f>
        <v>4</v>
      </c>
    </row>
    <row r="10" spans="1:18" x14ac:dyDescent="0.3">
      <c r="L10">
        <f t="shared" si="2"/>
        <v>0</v>
      </c>
    </row>
    <row r="11" spans="1:18" x14ac:dyDescent="0.3">
      <c r="A11" s="14" t="s">
        <v>8</v>
      </c>
      <c r="B11" s="14"/>
      <c r="C11" s="2">
        <v>10</v>
      </c>
      <c r="D11" s="2">
        <v>11</v>
      </c>
      <c r="E11" s="2">
        <v>15</v>
      </c>
      <c r="F11" s="2">
        <v>25</v>
      </c>
      <c r="G11" s="2">
        <v>35</v>
      </c>
      <c r="H11" s="2">
        <v>5</v>
      </c>
      <c r="L11">
        <f t="shared" si="2"/>
        <v>3</v>
      </c>
    </row>
    <row r="12" spans="1:18" ht="28.8" x14ac:dyDescent="0.3">
      <c r="A12" s="15" t="s">
        <v>16</v>
      </c>
      <c r="B12" s="15"/>
      <c r="C12">
        <v>1</v>
      </c>
      <c r="K12" s="12" t="s">
        <v>15</v>
      </c>
    </row>
    <row r="13" spans="1:18" ht="28.8" customHeight="1" x14ac:dyDescent="0.3">
      <c r="K13" s="13">
        <f>SUM(R4:R11)/SUM(C4:H4)</f>
        <v>0.25777777777777777</v>
      </c>
    </row>
  </sheetData>
  <mergeCells count="3">
    <mergeCell ref="C3:H3"/>
    <mergeCell ref="A11:B11"/>
    <mergeCell ref="A12:B12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Koncz József</dc:creator>
  <cp:lastModifiedBy>József Koncz</cp:lastModifiedBy>
  <dcterms:created xsi:type="dcterms:W3CDTF">2015-06-05T18:19:34Z</dcterms:created>
  <dcterms:modified xsi:type="dcterms:W3CDTF">2026-04-25T07:28:47Z</dcterms:modified>
</cp:coreProperties>
</file>